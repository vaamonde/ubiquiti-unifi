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PL" sheetId="1" r:id="rId4"/>
  </sheets>
  <definedNames/>
  <calcPr/>
  <extLst>
    <ext uri="GoogleSheetsCustomDataVersion2">
      <go:sheetsCustomData xmlns:go="http://customooxmlschemas.google.com/" r:id="rId5" roundtripDataChecksum="t/0ZdZPYFzTCO8KIiQAu4/607dbqmvD20nJdkWoNwF0="/>
    </ext>
  </extLst>
</workbook>
</file>

<file path=xl/sharedStrings.xml><?xml version="1.0" encoding="utf-8"?>
<sst xmlns="http://schemas.openxmlformats.org/spreadsheetml/2006/main" count="8" uniqueCount="8">
  <si>
    <t>Distância (m)</t>
  </si>
  <si>
    <t>FSPL - 2.4 GHz</t>
  </si>
  <si>
    <t>FSPL - 5 GHz</t>
  </si>
  <si>
    <t>FSPL - 6 GHz</t>
  </si>
  <si>
    <t>TX</t>
  </si>
  <si>
    <t>Ganho(TX)</t>
  </si>
  <si>
    <t>FSPL</t>
  </si>
  <si>
    <t>Ganho(RX)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</si>
</sst>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6.0"/>
      <color rgb="FF0070C0"/>
      <name val="Calibri"/>
    </font>
    <font>
      <sz val="16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Border="1" applyFill="1" applyFont="1"/>
    <xf borderId="1" fillId="3" fontId="3" numFmtId="0" xfId="0" applyAlignment="1" applyBorder="1" applyFont="1">
      <alignment horizontal="center" readingOrder="0"/>
    </xf>
    <xf borderId="1" fillId="3" fontId="4" numFmtId="1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2" fillId="3" fontId="2" numFmtId="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7</xdr:row>
      <xdr:rowOff>152400</xdr:rowOff>
    </xdr:from>
    <xdr:ext cx="5991225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6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1.0</v>
      </c>
      <c r="B2" s="4">
        <f t="shared" ref="B2:B7" si="1">(20*LOG10(A2))+(20*LOG10(2400))-27.55</f>
        <v>40.05422483</v>
      </c>
      <c r="C2" s="4">
        <f t="shared" ref="C2:C7" si="2">(20*LOG10(A2))+(20*LOG10(5200))-27.55</f>
        <v>46.77006687</v>
      </c>
      <c r="D2" s="4">
        <f t="shared" ref="D2:D7" si="3">(20*LOG10(A2))+(20*LOG10(6000))-27.55</f>
        <v>48.01302501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>
        <v>2.0</v>
      </c>
      <c r="B3" s="4">
        <f t="shared" si="1"/>
        <v>46.07482475</v>
      </c>
      <c r="C3" s="4">
        <f t="shared" si="2"/>
        <v>52.79066679</v>
      </c>
      <c r="D3" s="4">
        <f t="shared" si="3"/>
        <v>54.03362492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>
        <v>4.0</v>
      </c>
      <c r="B4" s="4">
        <f t="shared" si="1"/>
        <v>52.09542466</v>
      </c>
      <c r="C4" s="4">
        <f t="shared" si="2"/>
        <v>58.8112667</v>
      </c>
      <c r="D4" s="4">
        <f t="shared" si="3"/>
        <v>60.05422483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>
        <v>8.0</v>
      </c>
      <c r="B5" s="4">
        <f t="shared" si="1"/>
        <v>58.11602457</v>
      </c>
      <c r="C5" s="4">
        <f t="shared" si="2"/>
        <v>64.83186661</v>
      </c>
      <c r="D5" s="4">
        <f t="shared" si="3"/>
        <v>66.07482475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5">
        <v>16.0</v>
      </c>
      <c r="B6" s="4">
        <f t="shared" si="1"/>
        <v>64.13662449</v>
      </c>
      <c r="C6" s="4">
        <f t="shared" si="2"/>
        <v>70.85246653</v>
      </c>
      <c r="D6" s="4">
        <f t="shared" si="3"/>
        <v>72.09542466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>
        <v>10.0</v>
      </c>
      <c r="B7" s="4">
        <f t="shared" si="1"/>
        <v>60.05422483</v>
      </c>
      <c r="C7" s="4">
        <f t="shared" si="2"/>
        <v>66.77006687</v>
      </c>
      <c r="D7" s="4">
        <f t="shared" si="3"/>
        <v>68.01302501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6" t="s">
        <v>4</v>
      </c>
      <c r="C14" s="6" t="s">
        <v>5</v>
      </c>
      <c r="D14" s="6" t="s">
        <v>6</v>
      </c>
      <c r="E14" s="6" t="s">
        <v>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6">
        <v>23.0</v>
      </c>
      <c r="C15" s="6">
        <v>2.8</v>
      </c>
      <c r="D15" s="7">
        <f>IFERROR(__xludf.DUMMYFUNCTION("-B7"),-60.054224834232116)</f>
        <v>-60.05422483</v>
      </c>
      <c r="E15" s="6">
        <v>0.5</v>
      </c>
      <c r="F15" s="6">
        <f t="shared" ref="F15:F16" si="4">SUM(B15:E15)</f>
        <v>-33.75422483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6">
        <v>23.0</v>
      </c>
      <c r="C16" s="6">
        <v>3.0</v>
      </c>
      <c r="D16" s="7">
        <f>IFERROR(__xludf.DUMMYFUNCTION("-C7"),-66.77006687269598)</f>
        <v>-66.77006687</v>
      </c>
      <c r="E16" s="6">
        <v>0.5</v>
      </c>
      <c r="F16" s="6">
        <f t="shared" si="4"/>
        <v>-40.27006687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2024-11-29T18:41:26Z</dcterms:created>
  <dc:creator>Claudio Fernandes</dc:creator>
</cp:coreProperties>
</file>