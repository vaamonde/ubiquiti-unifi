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fercla\Downloads\"/>
    </mc:Choice>
  </mc:AlternateContent>
  <xr:revisionPtr revIDLastSave="0" documentId="13_ncr:1_{896FEC89-C98A-46D1-9B2F-56AE58D91B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Ps" sheetId="1" r:id="rId1"/>
    <sheet name="FSPL" sheetId="2" r:id="rId2"/>
    <sheet name="FSPL2" sheetId="3" r:id="rId3"/>
  </sheets>
  <definedNames>
    <definedName name="_xlnm._FilterDatabase" localSheetId="0" hidden="1">APs!$A$1:$M$30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3" i="3"/>
  <c r="B4" i="3"/>
  <c r="B2" i="3"/>
  <c r="G4" i="3"/>
  <c r="F4" i="3"/>
  <c r="E4" i="3"/>
  <c r="D4" i="3"/>
  <c r="C4" i="3"/>
  <c r="G3" i="3"/>
  <c r="F3" i="3"/>
  <c r="E3" i="3"/>
  <c r="D3" i="3"/>
  <c r="C3" i="3"/>
  <c r="G2" i="3"/>
  <c r="F2" i="3"/>
  <c r="E2" i="3"/>
  <c r="D2" i="3"/>
  <c r="C2" i="3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D2" i="2"/>
  <c r="C2" i="2"/>
</calcChain>
</file>

<file path=xl/sharedStrings.xml><?xml version="1.0" encoding="utf-8"?>
<sst xmlns="http://schemas.openxmlformats.org/spreadsheetml/2006/main" count="409" uniqueCount="192">
  <si>
    <t>U7 PRO MAX</t>
  </si>
  <si>
    <t>U7 PRO</t>
  </si>
  <si>
    <t>U6 ENTERPRISE</t>
  </si>
  <si>
    <t>U6 PRO</t>
  </si>
  <si>
    <t>U6 LONG-RANGE</t>
  </si>
  <si>
    <t>U6+</t>
  </si>
  <si>
    <t>Radios</t>
  </si>
  <si>
    <t>Spatial Streams</t>
  </si>
  <si>
    <t>Coverage</t>
  </si>
  <si>
    <t>WIFI</t>
  </si>
  <si>
    <t>Environment</t>
  </si>
  <si>
    <t>2.4/5/6 GHz</t>
  </si>
  <si>
    <t>2.4/5 GHz</t>
  </si>
  <si>
    <t>WiFi 7</t>
  </si>
  <si>
    <t>WiFi 6</t>
  </si>
  <si>
    <t>WiFi 6E</t>
  </si>
  <si>
    <t>Devices</t>
  </si>
  <si>
    <t>500+</t>
  </si>
  <si>
    <t>300+</t>
  </si>
  <si>
    <t>600+</t>
  </si>
  <si>
    <t>350+</t>
  </si>
  <si>
    <t>U7 Pro Wall</t>
  </si>
  <si>
    <t>U6 ENTERPRISE In-Wall</t>
  </si>
  <si>
    <t>U6 In-Wall</t>
  </si>
  <si>
    <t>U6 Extender</t>
  </si>
  <si>
    <t>U7 Outdoor</t>
  </si>
  <si>
    <t>U6 Mesh Pro</t>
  </si>
  <si>
    <t>U6 Mesh</t>
  </si>
  <si>
    <t>AC Mesh Pro</t>
  </si>
  <si>
    <t>AC Mesh</t>
  </si>
  <si>
    <t>Swiss Army Knife</t>
  </si>
  <si>
    <t>WiFi 5</t>
  </si>
  <si>
    <t>200+</t>
  </si>
  <si>
    <t>250+</t>
  </si>
  <si>
    <t>Wall/Pole</t>
  </si>
  <si>
    <t>Desktop/Wall/Pole/Ceilling</t>
  </si>
  <si>
    <t>Wall/Desktop</t>
  </si>
  <si>
    <t>In-Wall</t>
  </si>
  <si>
    <t>Outlet</t>
  </si>
  <si>
    <t>Flagship</t>
  </si>
  <si>
    <t>Wall</t>
  </si>
  <si>
    <t>Outdoor</t>
  </si>
  <si>
    <t>Mega Capacity</t>
  </si>
  <si>
    <t>2 x 2 (DL/UL MU-MIMO)
2 x 2 (DL/UL MU-MIMO)
2 x 2 (DL/UL MU-MIMO)</t>
  </si>
  <si>
    <t>688 Mbps (BW40)
8.6 Gbps (BW240)
5.7 Gbps (BW320)</t>
  </si>
  <si>
    <t>688 Mbps (BW40)
4.3 Gbps (BW240)
5.7 Gbps (BW320)</t>
  </si>
  <si>
    <t>573.5 Mbps (BW40)
4.8 Gbps (BW160)
4.8 Gbps (BW160)</t>
  </si>
  <si>
    <t>573.5 Mbps (BW40)
4.8 Gbps (BW160)</t>
  </si>
  <si>
    <t>Antenna Gain</t>
  </si>
  <si>
    <t>Max Data Rate</t>
  </si>
  <si>
    <t>4 dBi
6 dBi
5.9 dBi</t>
  </si>
  <si>
    <t>4 dBi
6 dBi
5.8 dBi</t>
  </si>
  <si>
    <t>3.2 dBi
5.3 dBi
6 dBi</t>
  </si>
  <si>
    <t>4 dBi
6 dBi
–</t>
  </si>
  <si>
    <t>802.11a/b/g/n/ac/ax/be (WiFi 6/6E, WiFi 7)</t>
  </si>
  <si>
    <t>802.11a/b/g/n/ac/ax (WiFi 6/6E)</t>
  </si>
  <si>
    <t>802.11a/b/g/n/ac/ax (WiFi 6)</t>
  </si>
  <si>
    <t>WiFi standards</t>
  </si>
  <si>
    <t>U6 Lite</t>
  </si>
  <si>
    <t>AC LONG-RANGE</t>
  </si>
  <si>
    <t>AC Lite</t>
  </si>
  <si>
    <t>2 x 2 (DL/UL MU-MIMO)
2 x 2 (DL/UL MU-MIMO)
–</t>
  </si>
  <si>
    <t>2 x 2 (SU-MIMO)
2 x 2 (DL/UL MU-MIMO)
–</t>
  </si>
  <si>
    <t>600 Mbps (BW40)
2.4 Gbps (BW160)
–</t>
  </si>
  <si>
    <t>573.5 Mbps (BW40)
2.4 Gbps (BW160)
–</t>
  </si>
  <si>
    <t>300 Mbps (BW40)
1.2 Gbps (BW80)
–</t>
  </si>
  <si>
    <t>4 dBi
5.5 dBi
–</t>
  </si>
  <si>
    <t>3 dBi
5.4 dBi
–</t>
  </si>
  <si>
    <t>2.8 dBi
3 dBi
–</t>
  </si>
  <si>
    <t>AC PRO</t>
  </si>
  <si>
    <t>3 x 3 (DL MU-MIMO)
2 x 2 (DL MU-MIMO)
–</t>
  </si>
  <si>
    <t>2 x 2 (DL MU-MIMO)
2 x 2 (DL MU-MIMO)
–</t>
  </si>
  <si>
    <t>450 Mbps (BW40)
867 Mbps (BW80)
–</t>
  </si>
  <si>
    <t>450 Mbps (BW40)
1.3 Gbps (BW80)
–</t>
  </si>
  <si>
    <t>802.11 a/b/g/n/ac</t>
  </si>
  <si>
    <t>802.11 a/b/g/n/r/k/v/ac</t>
  </si>
  <si>
    <t>3 dBi
3 dBi
–</t>
  </si>
  <si>
    <t>Wall, ceiling</t>
  </si>
  <si>
    <t>In-Wall HD</t>
  </si>
  <si>
    <t>AC In-Wall</t>
  </si>
  <si>
    <t>573.5 Mbps (BW40)
4.8 Gbps (BW160)
–</t>
  </si>
  <si>
    <t>300 Mbps (BW40)
1.7 Gbps (BW80)
–</t>
  </si>
  <si>
    <t>300 Mbps (BW40)
867 Mbps (BW80)
–</t>
  </si>
  <si>
    <t>4 dBi
5 dBi
6 dBi</t>
  </si>
  <si>
    <t>4 dBi
5.8 dBi
5.8 dBi</t>
  </si>
  <si>
    <t>5 dBi
5.9 dBi
–</t>
  </si>
  <si>
    <t>5 dBi
6 dBi
–</t>
  </si>
  <si>
    <t>1.8 dBi
6 dBi
–</t>
  </si>
  <si>
    <t>1 dBi
2 dBi
–</t>
  </si>
  <si>
    <t>802.11a/b/g/n/ac/ax (WiFi6)</t>
  </si>
  <si>
    <t>Type</t>
  </si>
  <si>
    <t>Model</t>
  </si>
  <si>
    <t>688 Mbps (BW40)
4.3 Gbps (BW240)
–</t>
  </si>
  <si>
    <t>Direc int: 8 dBi/Ext omni: 3 dBi
Direc int: 12.5 dBi/Ext omni: 4 dBi
–</t>
  </si>
  <si>
    <t>8 dBi
8 dBi
–</t>
  </si>
  <si>
    <t>3 dBi
5 dBi
–</t>
  </si>
  <si>
    <t>3 dBi
4 dBi
–</t>
  </si>
  <si>
    <t>802.11a/b/g/n/ac/ax/be (WiFi 6, WiFi 7)</t>
  </si>
  <si>
    <t>802.11a/b/g/n/ac</t>
  </si>
  <si>
    <t>300 Mbps (BW40)
866.7 Mbps (BW80)
–</t>
  </si>
  <si>
    <t>4.7 dBi
6.1 dBi
–</t>
  </si>
  <si>
    <t>WiFi BaseStation XG</t>
  </si>
  <si>
    <t>5 GHz</t>
  </si>
  <si>
    <t>–
Low/Mid/High-band: 1.7 Gbps (BW80)
–</t>
  </si>
  <si>
    <t>–
Small cell: 15 dBi / Large cell: 10 dBi
–</t>
  </si>
  <si>
    <t>1500+</t>
  </si>
  <si>
    <t>MIMO</t>
  </si>
  <si>
    <r>
      <t xml:space="preserve">2 x 2 (DL/UL MU-MIMO)
</t>
    </r>
    <r>
      <rPr>
        <sz val="9"/>
        <color rgb="FF0070C0"/>
        <rFont val="Calibri"/>
        <family val="2"/>
        <scheme val="minor"/>
      </rPr>
      <t>4 x 4 (DL/UL MU-MIMO)</t>
    </r>
    <r>
      <rPr>
        <sz val="9"/>
        <color theme="1"/>
        <rFont val="Calibri"/>
        <family val="2"/>
        <scheme val="minor"/>
      </rPr>
      <t xml:space="preserve">
2 x 2 (DL/UL MU-MIMO)</t>
    </r>
  </si>
  <si>
    <r>
      <t xml:space="preserve">2 x 2 (DL/UL MU-MIMO)
</t>
    </r>
    <r>
      <rPr>
        <sz val="9"/>
        <color rgb="FF0070C0"/>
        <rFont val="Calibri"/>
        <family val="2"/>
        <scheme val="minor"/>
      </rPr>
      <t>4 x 4 (DL/UL MU-MIMO)
4 x 4 (DL/UL MU-MIMO)</t>
    </r>
  </si>
  <si>
    <r>
      <t xml:space="preserve">2 x 2 (UL MU-MIMO)
</t>
    </r>
    <r>
      <rPr>
        <sz val="9"/>
        <color rgb="FF0070C0"/>
        <rFont val="Calibri"/>
        <family val="2"/>
        <scheme val="minor"/>
      </rPr>
      <t>4 x 4 (DL/UL MU-MIMO)</t>
    </r>
  </si>
  <si>
    <r>
      <t xml:space="preserve">4 x 4 (SU-MIMO)
</t>
    </r>
    <r>
      <rPr>
        <sz val="9"/>
        <color rgb="FF0070C0"/>
        <rFont val="Calibri"/>
        <family val="2"/>
        <scheme val="minor"/>
      </rPr>
      <t>4 x 4 (DL/UL MU-MIMO)</t>
    </r>
    <r>
      <rPr>
        <sz val="9"/>
        <color theme="1"/>
        <rFont val="Calibri"/>
        <family val="2"/>
        <scheme val="minor"/>
      </rPr>
      <t xml:space="preserve">
–</t>
    </r>
  </si>
  <si>
    <r>
      <t xml:space="preserve">3 x 3 (DL MU-MIMO)
</t>
    </r>
    <r>
      <rPr>
        <sz val="9"/>
        <color rgb="FF0070C0"/>
        <rFont val="Calibri"/>
        <family val="2"/>
        <scheme val="minor"/>
      </rPr>
      <t>3 x 3 (DL MU-MIMO)</t>
    </r>
    <r>
      <rPr>
        <sz val="9"/>
        <color theme="1"/>
        <rFont val="Calibri"/>
        <family val="2"/>
        <scheme val="minor"/>
      </rPr>
      <t xml:space="preserve">
–</t>
    </r>
  </si>
  <si>
    <r>
      <t xml:space="preserve">2 x 2 (DL/UL MU-MIMO)
</t>
    </r>
    <r>
      <rPr>
        <sz val="9"/>
        <color rgb="FF0070C0"/>
        <rFont val="Calibri"/>
        <family val="2"/>
        <scheme val="minor"/>
      </rPr>
      <t>4 x 4 (DL/UL MU-MIMO)</t>
    </r>
    <r>
      <rPr>
        <sz val="9"/>
        <color theme="1"/>
        <rFont val="Calibri"/>
        <family val="2"/>
        <scheme val="minor"/>
      </rPr>
      <t xml:space="preserve">
–</t>
    </r>
  </si>
  <si>
    <r>
      <t xml:space="preserve">2 x 2 (DL MU-MIMO)
</t>
    </r>
    <r>
      <rPr>
        <sz val="9"/>
        <color rgb="FF0070C0"/>
        <rFont val="Calibri"/>
        <family val="2"/>
        <scheme val="minor"/>
      </rPr>
      <t>4 x 4 (DL MU-MIMO)</t>
    </r>
    <r>
      <rPr>
        <sz val="9"/>
        <color theme="1"/>
        <rFont val="Calibri"/>
        <family val="2"/>
        <scheme val="minor"/>
      </rPr>
      <t xml:space="preserve">
–</t>
    </r>
  </si>
  <si>
    <r>
      <t xml:space="preserve">–
Low/Mid/High-band: </t>
    </r>
    <r>
      <rPr>
        <sz val="9"/>
        <color rgb="FF0070C0"/>
        <rFont val="Calibri"/>
        <family val="2"/>
        <scheme val="minor"/>
      </rPr>
      <t xml:space="preserve">4 x 4 (DL MU-MIMO)
</t>
    </r>
    <r>
      <rPr>
        <sz val="9"/>
        <color theme="1"/>
        <rFont val="Calibri"/>
        <family val="2"/>
        <scheme val="minor"/>
      </rPr>
      <t>–</t>
    </r>
  </si>
  <si>
    <t>Distância (m)</t>
  </si>
  <si>
    <t>FSPL - 2.4 GHz</t>
  </si>
  <si>
    <t>FSPL - 5 GHz</t>
  </si>
  <si>
    <t>FSPL - 6 GHz</t>
  </si>
  <si>
    <t>ENTERPRISE</t>
  </si>
  <si>
    <t>E7 CAMPUS</t>
  </si>
  <si>
    <t>E7</t>
  </si>
  <si>
    <t>E7 AUDIENCE</t>
  </si>
  <si>
    <t>2 x 2 (DL/UL MU-MIMO)
4 x 4 (DL/UL MU-MIMO)
4 x 4 (DL/UL MU-MIMO)</t>
  </si>
  <si>
    <t>688 Mbps (BW40)
8.6 Gbps (BW240)
11.5 Gbps (BW320)</t>
  </si>
  <si>
    <t>9 dBi
12 dBi
12 dBi</t>
  </si>
  <si>
    <t>1000+</t>
  </si>
  <si>
    <t>Max TX Power</t>
  </si>
  <si>
    <t>Power</t>
  </si>
  <si>
    <t>PoE++</t>
  </si>
  <si>
    <t>Uplink</t>
  </si>
  <si>
    <t>Consumption(W)</t>
  </si>
  <si>
    <t>Wall/Ceiling</t>
  </si>
  <si>
    <t>Wall/Pole/Ceiling</t>
  </si>
  <si>
    <t>24 dBm
30 dBm
24/30 dBm</t>
  </si>
  <si>
    <t>5 dBi
6 dBi
6 dBi</t>
  </si>
  <si>
    <t>1 and 10GbE</t>
  </si>
  <si>
    <t>23 dBm
30 dBm
30/36 dBm</t>
  </si>
  <si>
    <t>5/6 GHz</t>
  </si>
  <si>
    <t>-
30 dBm
30/36 dBm</t>
  </si>
  <si>
    <t>-
4 x 4 (DL/UL MU-MIMO)
Low/ High band: 4x 4 (DL/UL MU-MIMO)</t>
  </si>
  <si>
    <t>-
8.6 Gbps (BW240)
Low/ High band: 11.5 Gbps (BW320)</t>
  </si>
  <si>
    <t>-
Small cell: 15 dBi / Large: 11dBi
Small cell: 15 dBi / Large: 11dBi</t>
  </si>
  <si>
    <t>2.5 GbE</t>
  </si>
  <si>
    <t>1 GbE</t>
  </si>
  <si>
    <t>PoE+</t>
  </si>
  <si>
    <t>PoE</t>
  </si>
  <si>
    <t>23 dBm
29 dBm
23 dBm</t>
  </si>
  <si>
    <t>22 dBm
26 dBm
26 dBm</t>
  </si>
  <si>
    <t>22 dBm
26 dBm
-</t>
  </si>
  <si>
    <t>18.5</t>
  </si>
  <si>
    <t>26 dBm
26 dBm
-</t>
  </si>
  <si>
    <t>23 dBm
23 dBm
-</t>
  </si>
  <si>
    <t>22 dBm
22 dBm
-</t>
  </si>
  <si>
    <t>24 dBm
22 dBm
-</t>
  </si>
  <si>
    <t>6.5</t>
  </si>
  <si>
    <t>20 dBm
20 dBm
-</t>
  </si>
  <si>
    <t>PoE+ /  PoE++</t>
  </si>
  <si>
    <t>Mesh</t>
  </si>
  <si>
    <t>AC</t>
  </si>
  <si>
    <t>22 dBm
26 dBm
23 dBm</t>
  </si>
  <si>
    <t>2.5 GbE (1) / 1 GbE(4)</t>
  </si>
  <si>
    <t>21 (Excl PoE Out)</t>
  </si>
  <si>
    <t>13 (Excl PoE Out)</t>
  </si>
  <si>
    <t>23 dBm
26 dBm
-</t>
  </si>
  <si>
    <t>PoE /  PoE+</t>
  </si>
  <si>
    <t>11 (Excl PoE Out)</t>
  </si>
  <si>
    <t>1 GbE (1) / 1 GbE(1)</t>
  </si>
  <si>
    <t>7 (Excl PoE Out)</t>
  </si>
  <si>
    <t>25 dBm</t>
  </si>
  <si>
    <t>1 GbE(1)/ 1/10 GbE(1)</t>
  </si>
  <si>
    <t>Wall / Pole</t>
  </si>
  <si>
    <t>U7 Pro Outdoor</t>
  </si>
  <si>
    <t>23 dBm
26 dBm
26 dBm</t>
  </si>
  <si>
    <t>Direc int: 8 dBi/Ext omni: 6 dBi
Direc int: 11 dBi/Ext omni: 8 dBi
Direc int: 10 dBi/Ext omni: -</t>
  </si>
  <si>
    <t>22 dBm
27 dBm
-</t>
  </si>
  <si>
    <t>2.5 GbE(2)</t>
  </si>
  <si>
    <t>1 GbE(2)</t>
  </si>
  <si>
    <t>9.5</t>
  </si>
  <si>
    <t>U7 Lite</t>
  </si>
  <si>
    <t>U7 In-Wall</t>
  </si>
  <si>
    <t>688 Mbps (BW40)
4.3 Gbps (BW160)
–</t>
  </si>
  <si>
    <t>24 dBm
23 dBm
-</t>
  </si>
  <si>
    <t>5 dBi
4 dBi
–</t>
  </si>
  <si>
    <t>802.11 n/ac/ax/be (WiFi 6/6E, WiFi 7)</t>
  </si>
  <si>
    <t>23 dBm
24 dBm
-</t>
  </si>
  <si>
    <t>4 dBi
8 dBi
–</t>
  </si>
  <si>
    <t>2.5 GbE (3)</t>
  </si>
  <si>
    <t>1 GbE (3)</t>
  </si>
  <si>
    <t>1 GbE Data-in (1) / 1 GbE Data-out (4)</t>
  </si>
  <si>
    <t>802.11 n/ac/ax (WiFi 6)</t>
  </si>
  <si>
    <t>802.11 n/ac/ax/be (WiFi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</si>
</sst>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3" borderId="0" xfId="0" applyFill="1"/>
    <xf numFmtId="0" fontId="5" fillId="3" borderId="1" xfId="0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0" borderId="0" xfId="0" quotePrefix="1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7</xdr:row>
      <xdr:rowOff>152400</xdr:rowOff>
    </xdr:from>
    <xdr:to>
      <xdr:col>3</xdr:col>
      <xdr:colOff>1294650</xdr:colOff>
      <xdr:row>11</xdr:row>
      <xdr:rowOff>47543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2019300"/>
          <a:ext cx="6000000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5</xdr:row>
      <xdr:rowOff>28575</xdr:rowOff>
    </xdr:from>
    <xdr:to>
      <xdr:col>5</xdr:col>
      <xdr:colOff>875550</xdr:colOff>
      <xdr:row>8</xdr:row>
      <xdr:rowOff>114218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1675" y="1285875"/>
          <a:ext cx="6000000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topLeftCell="A22" zoomScale="80" zoomScaleNormal="80" workbookViewId="0">
      <selection activeCell="H41" sqref="H41"/>
    </sheetView>
  </sheetViews>
  <sheetFormatPr defaultColWidth="8.6328125" defaultRowHeight="12" x14ac:dyDescent="0.35"/>
  <cols>
    <col min="1" max="1" width="10.54296875" style="3" bestFit="1" customWidth="1"/>
    <col min="2" max="2" width="21.36328125" style="13" bestFit="1" customWidth="1"/>
    <col min="3" max="3" width="9.90625" style="1" bestFit="1" customWidth="1"/>
    <col min="4" max="4" width="19.90625" style="1" customWidth="1"/>
    <col min="5" max="5" width="12.453125" style="1" customWidth="1"/>
    <col min="6" max="6" width="18.36328125" style="1" customWidth="1"/>
    <col min="7" max="7" width="16.453125" style="1" customWidth="1"/>
    <col min="8" max="8" width="26" style="1" customWidth="1"/>
    <col min="9" max="9" width="8.54296875" style="1" bestFit="1" customWidth="1"/>
    <col min="10" max="10" width="6.90625" style="1" bestFit="1" customWidth="1"/>
    <col min="11" max="11" width="30" style="1" bestFit="1" customWidth="1"/>
    <col min="12" max="12" width="6.90625" style="1" customWidth="1"/>
    <col min="13" max="13" width="23.54296875" style="1" bestFit="1" customWidth="1"/>
    <col min="14" max="15" width="12.90625" style="1" bestFit="1" customWidth="1"/>
    <col min="16" max="16" width="26" style="1" bestFit="1" customWidth="1"/>
    <col min="17" max="16384" width="8.6328125" style="1"/>
  </cols>
  <sheetData>
    <row r="1" spans="1:16" s="3" customFormat="1" x14ac:dyDescent="0.35">
      <c r="A1" s="4" t="s">
        <v>90</v>
      </c>
      <c r="B1" s="13" t="s">
        <v>91</v>
      </c>
      <c r="C1" s="4" t="s">
        <v>6</v>
      </c>
      <c r="D1" s="4" t="s">
        <v>106</v>
      </c>
      <c r="E1" s="4" t="s">
        <v>7</v>
      </c>
      <c r="F1" s="4" t="s">
        <v>49</v>
      </c>
      <c r="G1" s="4" t="s">
        <v>127</v>
      </c>
      <c r="H1" s="4" t="s">
        <v>48</v>
      </c>
      <c r="I1" s="4" t="s">
        <v>8</v>
      </c>
      <c r="J1" s="4" t="s">
        <v>9</v>
      </c>
      <c r="K1" s="4" t="s">
        <v>57</v>
      </c>
      <c r="L1" s="4" t="s">
        <v>16</v>
      </c>
      <c r="M1" s="4" t="s">
        <v>10</v>
      </c>
      <c r="N1" s="4" t="s">
        <v>128</v>
      </c>
      <c r="O1" s="4" t="s">
        <v>131</v>
      </c>
      <c r="P1" s="4" t="s">
        <v>130</v>
      </c>
    </row>
    <row r="2" spans="1:16" ht="36" x14ac:dyDescent="0.35">
      <c r="A2" s="12" t="s">
        <v>39</v>
      </c>
      <c r="B2" s="13" t="s">
        <v>0</v>
      </c>
      <c r="C2" s="1">
        <v>6</v>
      </c>
      <c r="D2" s="2" t="s">
        <v>107</v>
      </c>
      <c r="E2" s="1">
        <v>8</v>
      </c>
      <c r="F2" s="2" t="s">
        <v>44</v>
      </c>
      <c r="G2" s="2" t="s">
        <v>147</v>
      </c>
      <c r="H2" s="2" t="s">
        <v>50</v>
      </c>
      <c r="I2" s="1">
        <v>160</v>
      </c>
      <c r="J2" s="1" t="s">
        <v>13</v>
      </c>
      <c r="K2" s="1" t="s">
        <v>54</v>
      </c>
      <c r="L2" s="1" t="s">
        <v>17</v>
      </c>
      <c r="M2" s="1" t="s">
        <v>77</v>
      </c>
      <c r="N2" s="1" t="s">
        <v>145</v>
      </c>
      <c r="O2" s="1">
        <v>25</v>
      </c>
      <c r="P2" s="1" t="s">
        <v>143</v>
      </c>
    </row>
    <row r="3" spans="1:16" ht="36" x14ac:dyDescent="0.35">
      <c r="A3" s="12" t="s">
        <v>39</v>
      </c>
      <c r="B3" s="13" t="s">
        <v>1</v>
      </c>
      <c r="C3" s="1" t="s">
        <v>11</v>
      </c>
      <c r="D3" s="2" t="s">
        <v>43</v>
      </c>
      <c r="E3" s="1">
        <v>6</v>
      </c>
      <c r="F3" s="2" t="s">
        <v>45</v>
      </c>
      <c r="G3" s="2" t="s">
        <v>147</v>
      </c>
      <c r="H3" s="2" t="s">
        <v>51</v>
      </c>
      <c r="I3" s="1">
        <v>140</v>
      </c>
      <c r="J3" s="1" t="s">
        <v>13</v>
      </c>
      <c r="K3" s="1" t="s">
        <v>54</v>
      </c>
      <c r="L3" s="1" t="s">
        <v>18</v>
      </c>
      <c r="M3" s="1" t="s">
        <v>77</v>
      </c>
      <c r="N3" s="1" t="s">
        <v>145</v>
      </c>
      <c r="O3" s="1">
        <v>21</v>
      </c>
      <c r="P3" s="1" t="s">
        <v>143</v>
      </c>
    </row>
    <row r="4" spans="1:16" ht="36" x14ac:dyDescent="0.35">
      <c r="A4" s="12" t="s">
        <v>39</v>
      </c>
      <c r="B4" s="13" t="s">
        <v>2</v>
      </c>
      <c r="C4" s="1" t="s">
        <v>11</v>
      </c>
      <c r="D4" s="2" t="s">
        <v>108</v>
      </c>
      <c r="E4" s="1">
        <v>10</v>
      </c>
      <c r="F4" s="2" t="s">
        <v>46</v>
      </c>
      <c r="G4" s="2" t="s">
        <v>148</v>
      </c>
      <c r="H4" s="2" t="s">
        <v>52</v>
      </c>
      <c r="I4" s="1">
        <v>140</v>
      </c>
      <c r="J4" s="1" t="s">
        <v>15</v>
      </c>
      <c r="K4" s="1" t="s">
        <v>55</v>
      </c>
      <c r="L4" s="1" t="s">
        <v>19</v>
      </c>
      <c r="M4" s="1" t="s">
        <v>77</v>
      </c>
      <c r="N4" s="1" t="s">
        <v>145</v>
      </c>
      <c r="O4" s="1">
        <v>22</v>
      </c>
      <c r="P4" s="1" t="s">
        <v>143</v>
      </c>
    </row>
    <row r="5" spans="1:16" ht="36" x14ac:dyDescent="0.35">
      <c r="A5" s="12" t="s">
        <v>39</v>
      </c>
      <c r="B5" s="13" t="s">
        <v>3</v>
      </c>
      <c r="C5" s="1" t="s">
        <v>12</v>
      </c>
      <c r="D5" s="2" t="s">
        <v>109</v>
      </c>
      <c r="E5" s="1">
        <v>6</v>
      </c>
      <c r="F5" s="2" t="s">
        <v>47</v>
      </c>
      <c r="G5" s="2" t="s">
        <v>149</v>
      </c>
      <c r="H5" s="2" t="s">
        <v>53</v>
      </c>
      <c r="I5" s="1">
        <v>140</v>
      </c>
      <c r="J5" s="1" t="s">
        <v>14</v>
      </c>
      <c r="K5" s="1" t="s">
        <v>56</v>
      </c>
      <c r="L5" s="1" t="s">
        <v>20</v>
      </c>
      <c r="M5" s="1" t="s">
        <v>77</v>
      </c>
      <c r="N5" s="1" t="s">
        <v>146</v>
      </c>
      <c r="O5" s="1">
        <v>13</v>
      </c>
      <c r="P5" s="1" t="s">
        <v>144</v>
      </c>
    </row>
    <row r="6" spans="1:16" ht="36" x14ac:dyDescent="0.35">
      <c r="A6" s="12" t="s">
        <v>39</v>
      </c>
      <c r="B6" s="13" t="s">
        <v>4</v>
      </c>
      <c r="C6" s="1" t="s">
        <v>12</v>
      </c>
      <c r="D6" s="2" t="s">
        <v>110</v>
      </c>
      <c r="E6" s="1">
        <v>8</v>
      </c>
      <c r="F6" s="2" t="s">
        <v>63</v>
      </c>
      <c r="G6" s="2" t="s">
        <v>151</v>
      </c>
      <c r="H6" s="2" t="s">
        <v>66</v>
      </c>
      <c r="I6" s="1">
        <v>185</v>
      </c>
      <c r="J6" s="1" t="s">
        <v>14</v>
      </c>
      <c r="K6" s="1" t="s">
        <v>56</v>
      </c>
      <c r="L6" s="1" t="s">
        <v>20</v>
      </c>
      <c r="M6" s="1" t="s">
        <v>77</v>
      </c>
      <c r="N6" s="1" t="s">
        <v>145</v>
      </c>
      <c r="O6" s="1" t="s">
        <v>150</v>
      </c>
      <c r="P6" s="1" t="s">
        <v>144</v>
      </c>
    </row>
    <row r="7" spans="1:16" ht="36" x14ac:dyDescent="0.35">
      <c r="A7" s="12" t="s">
        <v>39</v>
      </c>
      <c r="B7" s="13" t="s">
        <v>5</v>
      </c>
      <c r="C7" s="1" t="s">
        <v>12</v>
      </c>
      <c r="D7" s="2" t="s">
        <v>61</v>
      </c>
      <c r="E7" s="1">
        <v>4</v>
      </c>
      <c r="F7" s="2" t="s">
        <v>64</v>
      </c>
      <c r="G7" s="2" t="s">
        <v>152</v>
      </c>
      <c r="H7" s="2" t="s">
        <v>67</v>
      </c>
      <c r="I7" s="1">
        <v>140</v>
      </c>
      <c r="J7" s="1" t="s">
        <v>14</v>
      </c>
      <c r="K7" s="1" t="s">
        <v>56</v>
      </c>
      <c r="L7" s="1" t="s">
        <v>18</v>
      </c>
      <c r="M7" s="1" t="s">
        <v>77</v>
      </c>
      <c r="N7" s="1" t="s">
        <v>146</v>
      </c>
      <c r="O7" s="1">
        <v>9</v>
      </c>
      <c r="P7" s="1" t="s">
        <v>144</v>
      </c>
    </row>
    <row r="8" spans="1:16" ht="36" x14ac:dyDescent="0.35">
      <c r="A8" s="12" t="s">
        <v>39</v>
      </c>
      <c r="B8" s="13" t="s">
        <v>58</v>
      </c>
      <c r="C8" s="1" t="s">
        <v>12</v>
      </c>
      <c r="D8" s="5" t="s">
        <v>62</v>
      </c>
      <c r="E8" s="1">
        <v>4</v>
      </c>
      <c r="F8" s="2" t="s">
        <v>65</v>
      </c>
      <c r="G8" s="2" t="s">
        <v>152</v>
      </c>
      <c r="H8" s="2" t="s">
        <v>68</v>
      </c>
      <c r="J8" s="1" t="s">
        <v>14</v>
      </c>
      <c r="K8" s="1" t="s">
        <v>56</v>
      </c>
      <c r="L8" s="1" t="s">
        <v>18</v>
      </c>
      <c r="M8" s="1" t="s">
        <v>77</v>
      </c>
      <c r="N8" s="1" t="s">
        <v>146</v>
      </c>
      <c r="O8" s="1">
        <v>12</v>
      </c>
      <c r="P8" s="1" t="s">
        <v>144</v>
      </c>
    </row>
    <row r="9" spans="1:16" ht="36" x14ac:dyDescent="0.35">
      <c r="A9" s="12" t="s">
        <v>39</v>
      </c>
      <c r="B9" s="13" t="s">
        <v>69</v>
      </c>
      <c r="C9" s="1" t="s">
        <v>12</v>
      </c>
      <c r="D9" s="2" t="s">
        <v>111</v>
      </c>
      <c r="E9" s="1">
        <v>6</v>
      </c>
      <c r="F9" s="2" t="s">
        <v>73</v>
      </c>
      <c r="G9" s="2" t="s">
        <v>153</v>
      </c>
      <c r="H9" s="2" t="s">
        <v>76</v>
      </c>
      <c r="J9" s="1" t="s">
        <v>31</v>
      </c>
      <c r="K9" s="1" t="s">
        <v>74</v>
      </c>
      <c r="L9" s="1" t="s">
        <v>33</v>
      </c>
      <c r="M9" s="1" t="s">
        <v>77</v>
      </c>
      <c r="N9" s="1" t="s">
        <v>146</v>
      </c>
      <c r="O9" s="1">
        <v>9</v>
      </c>
      <c r="P9" s="1" t="s">
        <v>144</v>
      </c>
    </row>
    <row r="10" spans="1:16" ht="36" x14ac:dyDescent="0.35">
      <c r="A10" s="12" t="s">
        <v>39</v>
      </c>
      <c r="B10" s="13" t="s">
        <v>59</v>
      </c>
      <c r="C10" s="1" t="s">
        <v>12</v>
      </c>
      <c r="D10" s="2" t="s">
        <v>70</v>
      </c>
      <c r="E10" s="1">
        <v>5</v>
      </c>
      <c r="F10" s="2" t="s">
        <v>72</v>
      </c>
      <c r="G10" s="2" t="s">
        <v>154</v>
      </c>
      <c r="H10" s="2" t="s">
        <v>76</v>
      </c>
      <c r="J10" s="1" t="s">
        <v>31</v>
      </c>
      <c r="K10" s="1" t="s">
        <v>75</v>
      </c>
      <c r="L10" s="1" t="s">
        <v>33</v>
      </c>
      <c r="M10" s="1" t="s">
        <v>77</v>
      </c>
      <c r="N10" s="1" t="s">
        <v>146</v>
      </c>
      <c r="O10" s="1" t="s">
        <v>155</v>
      </c>
      <c r="P10" s="1" t="s">
        <v>144</v>
      </c>
    </row>
    <row r="11" spans="1:16" ht="36" x14ac:dyDescent="0.35">
      <c r="A11" s="12" t="s">
        <v>39</v>
      </c>
      <c r="B11" s="13" t="s">
        <v>60</v>
      </c>
      <c r="C11" s="1" t="s">
        <v>12</v>
      </c>
      <c r="D11" s="2" t="s">
        <v>71</v>
      </c>
      <c r="E11" s="1">
        <v>4</v>
      </c>
      <c r="F11" s="2" t="s">
        <v>72</v>
      </c>
      <c r="G11" s="2" t="s">
        <v>156</v>
      </c>
      <c r="H11" s="2" t="s">
        <v>76</v>
      </c>
      <c r="J11" s="1" t="s">
        <v>31</v>
      </c>
      <c r="K11" s="1" t="s">
        <v>74</v>
      </c>
      <c r="L11" s="1" t="s">
        <v>33</v>
      </c>
      <c r="M11" s="1" t="s">
        <v>77</v>
      </c>
      <c r="N11" s="1" t="s">
        <v>146</v>
      </c>
      <c r="O11" s="1" t="s">
        <v>155</v>
      </c>
      <c r="P11" s="1" t="s">
        <v>144</v>
      </c>
    </row>
    <row r="12" spans="1:16" ht="36" x14ac:dyDescent="0.35">
      <c r="A12" s="12" t="s">
        <v>40</v>
      </c>
      <c r="B12" s="13" t="s">
        <v>21</v>
      </c>
      <c r="C12" s="1" t="s">
        <v>11</v>
      </c>
      <c r="D12" s="2" t="s">
        <v>43</v>
      </c>
      <c r="E12" s="1">
        <v>6</v>
      </c>
      <c r="F12" s="2" t="s">
        <v>45</v>
      </c>
      <c r="G12" s="2" t="s">
        <v>160</v>
      </c>
      <c r="H12" s="2" t="s">
        <v>83</v>
      </c>
      <c r="I12" s="1">
        <v>140</v>
      </c>
      <c r="J12" s="1" t="s">
        <v>13</v>
      </c>
      <c r="K12" s="1" t="s">
        <v>54</v>
      </c>
      <c r="L12" s="1" t="s">
        <v>18</v>
      </c>
      <c r="M12" s="1" t="s">
        <v>36</v>
      </c>
      <c r="N12" s="1" t="s">
        <v>145</v>
      </c>
      <c r="O12" s="1">
        <v>22</v>
      </c>
      <c r="P12" s="1" t="s">
        <v>143</v>
      </c>
    </row>
    <row r="13" spans="1:16" ht="36" x14ac:dyDescent="0.35">
      <c r="A13" s="12" t="s">
        <v>40</v>
      </c>
      <c r="B13" s="13" t="s">
        <v>22</v>
      </c>
      <c r="C13" s="1" t="s">
        <v>11</v>
      </c>
      <c r="D13" s="2" t="s">
        <v>108</v>
      </c>
      <c r="E13" s="1">
        <v>10</v>
      </c>
      <c r="F13" s="2" t="s">
        <v>46</v>
      </c>
      <c r="G13" s="2" t="s">
        <v>148</v>
      </c>
      <c r="H13" s="2" t="s">
        <v>84</v>
      </c>
      <c r="I13" s="1">
        <v>115</v>
      </c>
      <c r="J13" s="1" t="s">
        <v>15</v>
      </c>
      <c r="K13" s="1" t="s">
        <v>55</v>
      </c>
      <c r="L13" s="1" t="s">
        <v>19</v>
      </c>
      <c r="M13" s="1" t="s">
        <v>37</v>
      </c>
      <c r="N13" s="1" t="s">
        <v>157</v>
      </c>
      <c r="O13" s="1" t="s">
        <v>162</v>
      </c>
      <c r="P13" s="1" t="s">
        <v>161</v>
      </c>
    </row>
    <row r="14" spans="1:16" ht="36" x14ac:dyDescent="0.35">
      <c r="A14" s="12" t="s">
        <v>40</v>
      </c>
      <c r="B14" s="13" t="s">
        <v>23</v>
      </c>
      <c r="C14" s="1" t="s">
        <v>12</v>
      </c>
      <c r="D14" s="2" t="s">
        <v>112</v>
      </c>
      <c r="E14" s="1">
        <v>6</v>
      </c>
      <c r="F14" s="2" t="s">
        <v>80</v>
      </c>
      <c r="G14" s="2" t="s">
        <v>149</v>
      </c>
      <c r="H14" s="2" t="s">
        <v>85</v>
      </c>
      <c r="I14" s="1">
        <v>115</v>
      </c>
      <c r="J14" s="1" t="s">
        <v>14</v>
      </c>
      <c r="K14" s="1" t="s">
        <v>190</v>
      </c>
      <c r="L14" s="1" t="s">
        <v>18</v>
      </c>
      <c r="M14" s="1" t="s">
        <v>37</v>
      </c>
      <c r="N14" s="1" t="s">
        <v>165</v>
      </c>
      <c r="O14" s="1" t="s">
        <v>163</v>
      </c>
      <c r="P14" s="1" t="s">
        <v>189</v>
      </c>
    </row>
    <row r="15" spans="1:16" ht="36" x14ac:dyDescent="0.35">
      <c r="A15" s="12" t="s">
        <v>40</v>
      </c>
      <c r="B15" s="13" t="s">
        <v>24</v>
      </c>
      <c r="C15" s="1" t="s">
        <v>12</v>
      </c>
      <c r="D15" s="2" t="s">
        <v>112</v>
      </c>
      <c r="E15" s="1">
        <v>6</v>
      </c>
      <c r="F15" s="2" t="s">
        <v>80</v>
      </c>
      <c r="G15" s="2" t="s">
        <v>149</v>
      </c>
      <c r="H15" s="2" t="s">
        <v>86</v>
      </c>
      <c r="I15" s="1">
        <v>115</v>
      </c>
      <c r="J15" s="1" t="s">
        <v>14</v>
      </c>
      <c r="K15" s="1" t="s">
        <v>89</v>
      </c>
      <c r="L15" s="1" t="s">
        <v>18</v>
      </c>
      <c r="M15" s="1" t="s">
        <v>38</v>
      </c>
      <c r="N15" s="1" t="s">
        <v>159</v>
      </c>
      <c r="O15" s="1">
        <v>11</v>
      </c>
      <c r="P15" s="1" t="s">
        <v>158</v>
      </c>
    </row>
    <row r="16" spans="1:16" ht="36" x14ac:dyDescent="0.35">
      <c r="A16" s="12" t="s">
        <v>40</v>
      </c>
      <c r="B16" s="13" t="s">
        <v>78</v>
      </c>
      <c r="C16" s="1" t="s">
        <v>12</v>
      </c>
      <c r="D16" s="2" t="s">
        <v>113</v>
      </c>
      <c r="E16" s="1">
        <v>6</v>
      </c>
      <c r="F16" s="2" t="s">
        <v>81</v>
      </c>
      <c r="G16" s="2" t="s">
        <v>164</v>
      </c>
      <c r="H16" s="2" t="s">
        <v>87</v>
      </c>
      <c r="J16" s="1" t="s">
        <v>31</v>
      </c>
      <c r="K16" s="1" t="s">
        <v>74</v>
      </c>
      <c r="L16" s="1" t="s">
        <v>32</v>
      </c>
      <c r="M16" s="1" t="s">
        <v>37</v>
      </c>
      <c r="N16" s="1" t="s">
        <v>165</v>
      </c>
      <c r="O16" s="1" t="s">
        <v>166</v>
      </c>
      <c r="P16" s="1" t="s">
        <v>167</v>
      </c>
    </row>
    <row r="17" spans="1:16" ht="36" x14ac:dyDescent="0.35">
      <c r="A17" s="12" t="s">
        <v>40</v>
      </c>
      <c r="B17" s="13" t="s">
        <v>79</v>
      </c>
      <c r="C17" s="1" t="s">
        <v>12</v>
      </c>
      <c r="D17" s="2" t="s">
        <v>71</v>
      </c>
      <c r="E17" s="1">
        <v>4</v>
      </c>
      <c r="F17" s="2" t="s">
        <v>82</v>
      </c>
      <c r="G17" s="2" t="s">
        <v>156</v>
      </c>
      <c r="H17" s="2" t="s">
        <v>88</v>
      </c>
      <c r="I17" s="1">
        <v>25</v>
      </c>
      <c r="J17" s="1" t="s">
        <v>31</v>
      </c>
      <c r="K17" s="1" t="s">
        <v>74</v>
      </c>
      <c r="L17" s="1" t="s">
        <v>33</v>
      </c>
      <c r="M17" s="1" t="s">
        <v>37</v>
      </c>
      <c r="N17" s="1" t="s">
        <v>165</v>
      </c>
      <c r="O17" s="1" t="s">
        <v>168</v>
      </c>
      <c r="P17" s="1" t="s">
        <v>188</v>
      </c>
    </row>
    <row r="18" spans="1:16" ht="36" x14ac:dyDescent="0.35">
      <c r="A18" s="12" t="s">
        <v>41</v>
      </c>
      <c r="B18" s="13" t="s">
        <v>25</v>
      </c>
      <c r="C18" s="1" t="s">
        <v>12</v>
      </c>
      <c r="D18" s="2" t="s">
        <v>61</v>
      </c>
      <c r="E18" s="1">
        <v>4</v>
      </c>
      <c r="F18" s="2" t="s">
        <v>92</v>
      </c>
      <c r="G18" s="2" t="s">
        <v>164</v>
      </c>
      <c r="H18" s="2" t="s">
        <v>93</v>
      </c>
      <c r="I18" s="1">
        <v>465</v>
      </c>
      <c r="J18" s="1" t="s">
        <v>13</v>
      </c>
      <c r="K18" s="1" t="s">
        <v>97</v>
      </c>
      <c r="L18" s="1" t="s">
        <v>32</v>
      </c>
      <c r="M18" s="1" t="s">
        <v>34</v>
      </c>
      <c r="N18" s="1" t="s">
        <v>145</v>
      </c>
      <c r="O18" s="1">
        <v>19</v>
      </c>
      <c r="P18" s="1" t="s">
        <v>143</v>
      </c>
    </row>
    <row r="19" spans="1:16" ht="36" x14ac:dyDescent="0.35">
      <c r="A19" s="12" t="s">
        <v>41</v>
      </c>
      <c r="B19" s="13" t="s">
        <v>26</v>
      </c>
      <c r="C19" s="1" t="s">
        <v>12</v>
      </c>
      <c r="D19" s="2" t="s">
        <v>61</v>
      </c>
      <c r="E19" s="1">
        <v>4</v>
      </c>
      <c r="F19" s="2" t="s">
        <v>64</v>
      </c>
      <c r="G19" s="2" t="s">
        <v>175</v>
      </c>
      <c r="H19" s="2" t="s">
        <v>94</v>
      </c>
      <c r="I19" s="1">
        <v>185</v>
      </c>
      <c r="J19" s="1" t="s">
        <v>14</v>
      </c>
      <c r="K19" s="1" t="s">
        <v>56</v>
      </c>
      <c r="L19" s="1" t="s">
        <v>20</v>
      </c>
      <c r="M19" s="1" t="s">
        <v>34</v>
      </c>
      <c r="N19" s="1" t="s">
        <v>146</v>
      </c>
      <c r="O19" s="1">
        <v>9</v>
      </c>
      <c r="P19" s="1" t="s">
        <v>176</v>
      </c>
    </row>
    <row r="20" spans="1:16" ht="36" x14ac:dyDescent="0.35">
      <c r="A20" s="12" t="s">
        <v>41</v>
      </c>
      <c r="B20" s="13" t="s">
        <v>27</v>
      </c>
      <c r="C20" s="1" t="s">
        <v>12</v>
      </c>
      <c r="D20" s="2" t="s">
        <v>112</v>
      </c>
      <c r="E20" s="1">
        <v>6</v>
      </c>
      <c r="F20" s="2" t="s">
        <v>80</v>
      </c>
      <c r="G20" s="2" t="s">
        <v>149</v>
      </c>
      <c r="H20" s="2" t="s">
        <v>95</v>
      </c>
      <c r="I20" s="1">
        <v>140</v>
      </c>
      <c r="J20" s="1" t="s">
        <v>14</v>
      </c>
      <c r="K20" s="1" t="s">
        <v>56</v>
      </c>
      <c r="L20" s="1" t="s">
        <v>18</v>
      </c>
      <c r="M20" s="1" t="s">
        <v>35</v>
      </c>
      <c r="N20" s="1" t="s">
        <v>146</v>
      </c>
      <c r="O20" s="1">
        <v>13</v>
      </c>
      <c r="P20" s="1" t="s">
        <v>144</v>
      </c>
    </row>
    <row r="21" spans="1:16" ht="36" x14ac:dyDescent="0.35">
      <c r="A21" s="12" t="s">
        <v>41</v>
      </c>
      <c r="B21" s="13" t="s">
        <v>28</v>
      </c>
      <c r="C21" s="1" t="s">
        <v>12</v>
      </c>
      <c r="D21" s="2" t="s">
        <v>111</v>
      </c>
      <c r="E21" s="1">
        <v>6</v>
      </c>
      <c r="F21" s="2" t="s">
        <v>73</v>
      </c>
      <c r="G21" s="2" t="s">
        <v>153</v>
      </c>
      <c r="H21" s="2" t="s">
        <v>94</v>
      </c>
      <c r="I21" s="1">
        <v>185</v>
      </c>
      <c r="J21" s="1" t="s">
        <v>31</v>
      </c>
      <c r="K21" s="1" t="s">
        <v>98</v>
      </c>
      <c r="L21" s="1" t="s">
        <v>33</v>
      </c>
      <c r="M21" s="1" t="s">
        <v>34</v>
      </c>
      <c r="N21" s="1" t="s">
        <v>146</v>
      </c>
      <c r="O21" s="1">
        <v>9</v>
      </c>
      <c r="P21" s="1" t="s">
        <v>177</v>
      </c>
    </row>
    <row r="22" spans="1:16" ht="36" x14ac:dyDescent="0.35">
      <c r="A22" s="12" t="s">
        <v>41</v>
      </c>
      <c r="B22" s="13" t="s">
        <v>29</v>
      </c>
      <c r="C22" s="1" t="s">
        <v>12</v>
      </c>
      <c r="D22" s="2" t="s">
        <v>61</v>
      </c>
      <c r="E22" s="1">
        <v>4</v>
      </c>
      <c r="F22" s="2" t="s">
        <v>82</v>
      </c>
      <c r="G22" s="2" t="s">
        <v>156</v>
      </c>
      <c r="H22" s="2" t="s">
        <v>96</v>
      </c>
      <c r="I22" s="1">
        <v>140</v>
      </c>
      <c r="J22" s="1" t="s">
        <v>31</v>
      </c>
      <c r="K22" s="1" t="s">
        <v>98</v>
      </c>
      <c r="L22" s="1" t="s">
        <v>33</v>
      </c>
      <c r="M22" s="1" t="s">
        <v>34</v>
      </c>
      <c r="N22" s="1" t="s">
        <v>146</v>
      </c>
      <c r="O22" s="1" t="s">
        <v>178</v>
      </c>
      <c r="P22" s="1" t="s">
        <v>144</v>
      </c>
    </row>
    <row r="23" spans="1:16" ht="36" x14ac:dyDescent="0.35">
      <c r="A23" s="12" t="s">
        <v>41</v>
      </c>
      <c r="B23" s="13" t="s">
        <v>30</v>
      </c>
      <c r="C23" s="1" t="s">
        <v>12</v>
      </c>
      <c r="D23" s="2" t="s">
        <v>71</v>
      </c>
      <c r="E23" s="1">
        <v>4</v>
      </c>
      <c r="F23" s="2" t="s">
        <v>99</v>
      </c>
      <c r="G23" s="2" t="s">
        <v>156</v>
      </c>
      <c r="H23" s="2" t="s">
        <v>100</v>
      </c>
      <c r="I23" s="1">
        <v>115</v>
      </c>
      <c r="J23" s="1" t="s">
        <v>31</v>
      </c>
      <c r="K23" s="1" t="s">
        <v>98</v>
      </c>
      <c r="L23" s="1" t="s">
        <v>32</v>
      </c>
      <c r="M23" s="1" t="s">
        <v>35</v>
      </c>
      <c r="N23" s="1" t="s">
        <v>146</v>
      </c>
      <c r="O23" s="1">
        <v>8</v>
      </c>
      <c r="P23" s="1" t="s">
        <v>144</v>
      </c>
    </row>
    <row r="24" spans="1:16" ht="48" x14ac:dyDescent="0.35">
      <c r="A24" s="12" t="s">
        <v>42</v>
      </c>
      <c r="B24" s="13" t="s">
        <v>101</v>
      </c>
      <c r="C24" s="1" t="s">
        <v>102</v>
      </c>
      <c r="D24" s="2" t="s">
        <v>114</v>
      </c>
      <c r="E24" s="1">
        <v>12</v>
      </c>
      <c r="F24" s="2" t="s">
        <v>103</v>
      </c>
      <c r="G24" s="2" t="s">
        <v>169</v>
      </c>
      <c r="H24" s="2" t="s">
        <v>104</v>
      </c>
      <c r="I24" s="1">
        <v>465</v>
      </c>
      <c r="J24" s="1" t="s">
        <v>31</v>
      </c>
      <c r="K24" s="1" t="s">
        <v>74</v>
      </c>
      <c r="L24" s="1" t="s">
        <v>105</v>
      </c>
      <c r="M24" s="1" t="s">
        <v>171</v>
      </c>
      <c r="N24" s="1" t="s">
        <v>129</v>
      </c>
      <c r="O24" s="1">
        <v>31</v>
      </c>
      <c r="P24" s="1" t="s">
        <v>170</v>
      </c>
    </row>
    <row r="25" spans="1:16" ht="36" x14ac:dyDescent="0.35">
      <c r="A25" s="12" t="s">
        <v>119</v>
      </c>
      <c r="B25" s="13" t="s">
        <v>120</v>
      </c>
      <c r="C25" s="1" t="s">
        <v>11</v>
      </c>
      <c r="D25" s="2" t="s">
        <v>123</v>
      </c>
      <c r="E25" s="1">
        <v>10</v>
      </c>
      <c r="F25" s="2" t="s">
        <v>124</v>
      </c>
      <c r="G25" s="2" t="s">
        <v>137</v>
      </c>
      <c r="H25" s="2" t="s">
        <v>125</v>
      </c>
      <c r="I25" s="1">
        <v>185</v>
      </c>
      <c r="J25" s="1" t="s">
        <v>13</v>
      </c>
      <c r="K25" s="1" t="s">
        <v>54</v>
      </c>
      <c r="L25" s="1" t="s">
        <v>126</v>
      </c>
      <c r="M25" s="1" t="s">
        <v>132</v>
      </c>
      <c r="N25" s="1" t="s">
        <v>129</v>
      </c>
      <c r="O25" s="1">
        <v>44</v>
      </c>
      <c r="P25" s="1" t="s">
        <v>136</v>
      </c>
    </row>
    <row r="26" spans="1:16" ht="36" x14ac:dyDescent="0.35">
      <c r="A26" s="12" t="s">
        <v>119</v>
      </c>
      <c r="B26" s="13" t="s">
        <v>121</v>
      </c>
      <c r="C26" s="1" t="s">
        <v>11</v>
      </c>
      <c r="D26" s="2" t="s">
        <v>123</v>
      </c>
      <c r="E26" s="1">
        <v>10</v>
      </c>
      <c r="F26" s="2" t="s">
        <v>124</v>
      </c>
      <c r="G26" s="2" t="s">
        <v>134</v>
      </c>
      <c r="H26" s="2" t="s">
        <v>135</v>
      </c>
      <c r="I26" s="1">
        <v>465</v>
      </c>
      <c r="J26" s="1" t="s">
        <v>13</v>
      </c>
      <c r="K26" s="1" t="s">
        <v>54</v>
      </c>
      <c r="L26" s="1" t="s">
        <v>126</v>
      </c>
      <c r="M26" s="1" t="s">
        <v>133</v>
      </c>
      <c r="N26" s="1" t="s">
        <v>129</v>
      </c>
      <c r="O26" s="1">
        <v>43</v>
      </c>
      <c r="P26" s="1" t="s">
        <v>136</v>
      </c>
    </row>
    <row r="27" spans="1:16" ht="48" x14ac:dyDescent="0.35">
      <c r="A27" s="12" t="s">
        <v>42</v>
      </c>
      <c r="B27" s="13" t="s">
        <v>122</v>
      </c>
      <c r="C27" s="1" t="s">
        <v>138</v>
      </c>
      <c r="D27" s="11" t="s">
        <v>140</v>
      </c>
      <c r="E27" s="1">
        <v>12</v>
      </c>
      <c r="F27" s="11" t="s">
        <v>141</v>
      </c>
      <c r="G27" s="11" t="s">
        <v>139</v>
      </c>
      <c r="H27" s="11" t="s">
        <v>142</v>
      </c>
      <c r="I27" s="1">
        <v>465</v>
      </c>
      <c r="J27" s="1" t="s">
        <v>13</v>
      </c>
      <c r="K27" s="1" t="s">
        <v>54</v>
      </c>
      <c r="L27" s="1" t="s">
        <v>105</v>
      </c>
      <c r="M27" s="1" t="s">
        <v>34</v>
      </c>
      <c r="N27" s="1" t="s">
        <v>129</v>
      </c>
      <c r="O27" s="1">
        <v>51</v>
      </c>
      <c r="P27" s="1" t="s">
        <v>136</v>
      </c>
    </row>
    <row r="28" spans="1:16" ht="36" x14ac:dyDescent="0.35">
      <c r="A28" s="12" t="s">
        <v>41</v>
      </c>
      <c r="B28" s="13" t="s">
        <v>172</v>
      </c>
      <c r="C28" s="1" t="s">
        <v>11</v>
      </c>
      <c r="D28" s="2" t="s">
        <v>43</v>
      </c>
      <c r="E28" s="1">
        <v>6</v>
      </c>
      <c r="F28" s="2" t="s">
        <v>45</v>
      </c>
      <c r="G28" s="2" t="s">
        <v>173</v>
      </c>
      <c r="H28" s="2" t="s">
        <v>174</v>
      </c>
      <c r="I28" s="1">
        <v>465</v>
      </c>
      <c r="J28" s="1" t="s">
        <v>13</v>
      </c>
      <c r="K28" s="1" t="s">
        <v>97</v>
      </c>
      <c r="L28" s="1" t="s">
        <v>18</v>
      </c>
      <c r="M28" s="1" t="s">
        <v>34</v>
      </c>
      <c r="N28" s="1" t="s">
        <v>145</v>
      </c>
      <c r="O28" s="1">
        <v>21</v>
      </c>
      <c r="P28" s="1" t="s">
        <v>143</v>
      </c>
    </row>
    <row r="29" spans="1:16" ht="36" x14ac:dyDescent="0.35">
      <c r="A29" s="3" t="s">
        <v>39</v>
      </c>
      <c r="B29" s="13" t="s">
        <v>179</v>
      </c>
      <c r="C29" s="1" t="s">
        <v>12</v>
      </c>
      <c r="D29" s="2" t="s">
        <v>61</v>
      </c>
      <c r="E29" s="1">
        <v>4</v>
      </c>
      <c r="F29" s="2" t="s">
        <v>181</v>
      </c>
      <c r="G29" s="2" t="s">
        <v>182</v>
      </c>
      <c r="H29" s="2" t="s">
        <v>183</v>
      </c>
      <c r="I29" s="1">
        <v>115</v>
      </c>
      <c r="J29" s="1" t="s">
        <v>13</v>
      </c>
      <c r="K29" s="1" t="s">
        <v>184</v>
      </c>
      <c r="L29" s="1" t="s">
        <v>32</v>
      </c>
      <c r="M29" s="1" t="s">
        <v>77</v>
      </c>
      <c r="N29" s="1" t="s">
        <v>146</v>
      </c>
      <c r="O29" s="1">
        <v>13</v>
      </c>
      <c r="P29" s="1" t="s">
        <v>143</v>
      </c>
    </row>
    <row r="30" spans="1:16" ht="36" x14ac:dyDescent="0.35">
      <c r="A30" s="12" t="s">
        <v>40</v>
      </c>
      <c r="B30" s="13" t="s">
        <v>180</v>
      </c>
      <c r="C30" s="1" t="s">
        <v>12</v>
      </c>
      <c r="D30" s="2" t="s">
        <v>71</v>
      </c>
      <c r="E30" s="1">
        <v>4</v>
      </c>
      <c r="F30" s="2" t="s">
        <v>92</v>
      </c>
      <c r="G30" s="2" t="s">
        <v>185</v>
      </c>
      <c r="H30" s="2" t="s">
        <v>186</v>
      </c>
      <c r="I30" s="1">
        <v>115</v>
      </c>
      <c r="J30" s="1" t="s">
        <v>13</v>
      </c>
      <c r="K30" s="1" t="s">
        <v>191</v>
      </c>
      <c r="L30" s="1" t="s">
        <v>32</v>
      </c>
      <c r="M30" s="1" t="s">
        <v>37</v>
      </c>
      <c r="N30" s="1" t="s">
        <v>165</v>
      </c>
      <c r="O30" s="1" t="s">
        <v>163</v>
      </c>
      <c r="P30" s="1" t="s">
        <v>187</v>
      </c>
    </row>
  </sheetData>
  <autoFilter ref="A1:M3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"/>
    </sheetView>
  </sheetViews>
  <sheetFormatPr defaultColWidth="26.08984375" defaultRowHeight="14.5" x14ac:dyDescent="0.35"/>
  <cols>
    <col min="1" max="16384" width="26.08984375" style="6"/>
  </cols>
  <sheetData>
    <row r="1" spans="1:4" ht="21" x14ac:dyDescent="0.5">
      <c r="A1" s="9" t="s">
        <v>115</v>
      </c>
      <c r="B1" s="9" t="s">
        <v>116</v>
      </c>
      <c r="C1" s="9" t="s">
        <v>117</v>
      </c>
      <c r="D1" s="9" t="s">
        <v>118</v>
      </c>
    </row>
    <row r="2" spans="1:4" ht="21" x14ac:dyDescent="0.5">
      <c r="A2" s="7">
        <v>1</v>
      </c>
      <c r="B2" s="8">
        <f>(20*LOG10(A2))+(20*LOG10(2400))-27.55</f>
        <v>40.054224834232116</v>
      </c>
      <c r="C2" s="8">
        <f>(20*LOG10(A2))+(20*LOG10(5200))-27.55</f>
        <v>46.770066872695978</v>
      </c>
      <c r="D2" s="8">
        <f>(20*LOG10(A2))+(20*LOG10(6000))-27.55</f>
        <v>48.013025007672866</v>
      </c>
    </row>
    <row r="3" spans="1:4" ht="21" x14ac:dyDescent="0.5">
      <c r="A3" s="7">
        <v>2</v>
      </c>
      <c r="B3" s="8">
        <f>(20*LOG10(A3))+(20*LOG10(2400))-27.55</f>
        <v>46.074824747511741</v>
      </c>
      <c r="C3" s="8">
        <f t="shared" ref="C3:C6" si="0">(20*LOG10(A3))+(20*LOG10(5200))-27.55</f>
        <v>52.790666785975603</v>
      </c>
      <c r="D3" s="8">
        <f t="shared" ref="D3:D6" si="1">(20*LOG10(A3))+(20*LOG10(6000))-27.55</f>
        <v>54.033624920952491</v>
      </c>
    </row>
    <row r="4" spans="1:4" ht="21" x14ac:dyDescent="0.5">
      <c r="A4" s="7">
        <v>4</v>
      </c>
      <c r="B4" s="8">
        <f t="shared" ref="B4:B7" si="2">(20*LOG10(A4))+(20*LOG10(2400))-27.55</f>
        <v>52.095424660791366</v>
      </c>
      <c r="C4" s="8">
        <f t="shared" si="0"/>
        <v>58.811266699255228</v>
      </c>
      <c r="D4" s="8">
        <f t="shared" si="1"/>
        <v>60.054224834232116</v>
      </c>
    </row>
    <row r="5" spans="1:4" ht="21" x14ac:dyDescent="0.5">
      <c r="A5" s="7">
        <v>8</v>
      </c>
      <c r="B5" s="8">
        <f t="shared" si="2"/>
        <v>58.116024574070991</v>
      </c>
      <c r="C5" s="8">
        <f t="shared" si="0"/>
        <v>64.831866612534853</v>
      </c>
      <c r="D5" s="8">
        <f t="shared" si="1"/>
        <v>66.074824747511741</v>
      </c>
    </row>
    <row r="6" spans="1:4" ht="21" x14ac:dyDescent="0.5">
      <c r="A6" s="7">
        <v>16</v>
      </c>
      <c r="B6" s="8">
        <f t="shared" si="2"/>
        <v>64.136624487350616</v>
      </c>
      <c r="C6" s="8">
        <f t="shared" si="0"/>
        <v>70.852466525814478</v>
      </c>
      <c r="D6" s="8">
        <f t="shared" si="1"/>
        <v>72.095424660791366</v>
      </c>
    </row>
    <row r="7" spans="1:4" ht="21" x14ac:dyDescent="0.5">
      <c r="A7" s="7">
        <v>50</v>
      </c>
      <c r="B7" s="8">
        <f t="shared" si="2"/>
        <v>74.033624920952491</v>
      </c>
      <c r="C7" s="8">
        <f t="shared" ref="C7" si="3">(20*LOG10(A7))+(20*LOG10(5200))-27.55</f>
        <v>80.749466959416353</v>
      </c>
      <c r="D7" s="8">
        <f t="shared" ref="D7" si="4">(20*LOG10(A7))+(20*LOG10(6000))-27.55</f>
        <v>81.992425094393241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C21" sqref="C21"/>
    </sheetView>
  </sheetViews>
  <sheetFormatPr defaultColWidth="21.36328125" defaultRowHeight="14.5" x14ac:dyDescent="0.35"/>
  <sheetData>
    <row r="1" spans="1:7" ht="21" x14ac:dyDescent="0.5">
      <c r="A1" s="9" t="s">
        <v>115</v>
      </c>
      <c r="B1" s="10">
        <v>1</v>
      </c>
      <c r="C1" s="10">
        <v>2</v>
      </c>
      <c r="D1" s="10">
        <v>4</v>
      </c>
      <c r="E1" s="10">
        <v>8</v>
      </c>
      <c r="F1" s="10">
        <v>16</v>
      </c>
      <c r="G1" s="10">
        <v>50</v>
      </c>
    </row>
    <row r="2" spans="1:7" ht="21" x14ac:dyDescent="0.5">
      <c r="A2" s="9" t="s">
        <v>116</v>
      </c>
      <c r="B2" s="8">
        <f>-((20*LOG10(B1))+(20*LOG10(2400))-27.55)</f>
        <v>-40.054224834232116</v>
      </c>
      <c r="C2" s="8">
        <f>(20*LOG10(C1))+(20*LOG10(2400))-27.55</f>
        <v>46.074824747511741</v>
      </c>
      <c r="D2" s="8">
        <f>(20*LOG10(D1))+(20*LOG10(2400))-27.55</f>
        <v>52.095424660791366</v>
      </c>
      <c r="E2" s="8">
        <f>(20*LOG10(E1))+(20*LOG10(2400))-27.55</f>
        <v>58.116024574070991</v>
      </c>
      <c r="F2" s="8">
        <f>(20*LOG10(F1))+(20*LOG10(2400))-27.55</f>
        <v>64.136624487350616</v>
      </c>
      <c r="G2" s="8">
        <f>(20*LOG10(G1))+(20*LOG10(2400))-27.55</f>
        <v>74.033624920952491</v>
      </c>
    </row>
    <row r="3" spans="1:7" ht="21" x14ac:dyDescent="0.5">
      <c r="A3" s="9" t="s">
        <v>117</v>
      </c>
      <c r="B3" s="8">
        <f t="shared" ref="B3:G3" si="0">(20*LOG10(B1))+(20*LOG10(5200))-27.55</f>
        <v>46.770066872695978</v>
      </c>
      <c r="C3" s="8">
        <f t="shared" si="0"/>
        <v>52.790666785975603</v>
      </c>
      <c r="D3" s="8">
        <f t="shared" si="0"/>
        <v>58.811266699255228</v>
      </c>
      <c r="E3" s="8">
        <f t="shared" si="0"/>
        <v>64.831866612534853</v>
      </c>
      <c r="F3" s="8">
        <f t="shared" si="0"/>
        <v>70.852466525814478</v>
      </c>
      <c r="G3" s="8">
        <f t="shared" si="0"/>
        <v>80.749466959416353</v>
      </c>
    </row>
    <row r="4" spans="1:7" ht="21" x14ac:dyDescent="0.5">
      <c r="A4" s="9" t="s">
        <v>118</v>
      </c>
      <c r="B4" s="8">
        <f t="shared" ref="B4:G4" si="1">(20*LOG10(B1))+(20*LOG10(6000))-27.55</f>
        <v>48.013025007672866</v>
      </c>
      <c r="C4" s="8">
        <f t="shared" si="1"/>
        <v>54.033624920952491</v>
      </c>
      <c r="D4" s="8">
        <f t="shared" si="1"/>
        <v>60.054224834232116</v>
      </c>
      <c r="E4" s="8">
        <f t="shared" si="1"/>
        <v>66.074824747511741</v>
      </c>
      <c r="F4" s="8">
        <f t="shared" si="1"/>
        <v>72.095424660791366</v>
      </c>
      <c r="G4" s="8">
        <f t="shared" si="1"/>
        <v>81.992425094393241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APs</vt:lpstr>
      <vt:lpstr>FSPL</vt:lpstr>
      <vt:lpstr>FSPL2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Fernandes</dc:creator>
  <cp:lastModifiedBy>Claudio Fernandes</cp:lastModifiedBy>
  <dcterms:created xsi:type="dcterms:W3CDTF">2024-11-14T22:02:36Z</dcterms:created>
  <dcterms:modified xsi:type="dcterms:W3CDTF">2025-03-04T20:21:19Z</dcterms:modified>
</cp:coreProperties>
</file>